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olidado UNGET" state="visible" r:id="rId4"/>
  </sheets>
  <definedNames>
    <definedName name="_xlnm.Print_Titles" localSheetId="0">'Consolidado UNGET'!$4:$5</definedName>
  </definedNames>
  <calcPr calcId="171027"/>
</workbook>
</file>

<file path=xl/sharedStrings.xml><?xml version="1.0" encoding="utf-8"?>
<sst xmlns="http://schemas.openxmlformats.org/spreadsheetml/2006/main" count="43" uniqueCount="42">
  <si>
    <t>MOVIMIENTO BIOLÓGICO MENSUAL CONSOLIDADO UNGET</t>
  </si>
  <si>
    <t xml:space="preserve">Periodo: 2026-07 | Ámbito: UNGET | Ubicación: UNGET BELLAVISTA | Generado por: muestra | Cierre UNGET: - </t>
  </si>
  <si>
    <t>Consolidado de almacén UNGET e IPRESS. El ingreso (c) es solo lo recibido de DIRESA: la distribución a IPRESS y las devoluciones al almacén son traslados internos y no se cuentan como movimiento. El detalle por establecimiento está en el movimiento biológico que genera cada IPRESS.</t>
  </si>
  <si>
    <t xml:space="preserve">CÓDIGO
SISMED</t>
  </si>
  <si>
    <t>BIOLÓGICOS/DILUYENTES/JERINGAS</t>
  </si>
  <si>
    <t xml:space="preserve">PRESENTACIÓN
DOSIS/UNIDAD
(a)</t>
  </si>
  <si>
    <t>SALDO DISPONIBLE PARA EL MES X FRASCO</t>
  </si>
  <si>
    <t>MOVIMIENTO DEL MES X FRASCO</t>
  </si>
  <si>
    <t>MOVIMIENTO DEL MES X DOSIS</t>
  </si>
  <si>
    <t xml:space="preserve">SALDO
TOTAL RED
(l=d-h)</t>
  </si>
  <si>
    <t xml:space="preserve">SALDO
TOTAL
DOSIS (o)</t>
  </si>
  <si>
    <t>OBSERVACIONES</t>
  </si>
  <si>
    <t xml:space="preserve">SALDO RED
MES ANTERIOR
(b)</t>
  </si>
  <si>
    <t>N° LOTE</t>
  </si>
  <si>
    <t xml:space="preserve">(*)FECHA DE
VENCIMIENTO</t>
  </si>
  <si>
    <t xml:space="preserve">INGRESO EN EL
MES (c)</t>
  </si>
  <si>
    <t xml:space="preserve">FECHA DE
RECEP.</t>
  </si>
  <si>
    <t xml:space="preserve">TOTAL DISPONIBLE
PARA EL MES
(d=b+c)</t>
  </si>
  <si>
    <t xml:space="preserve">CONSUMO IPRESS
DEL MES FCO
(e)</t>
  </si>
  <si>
    <t xml:space="preserve">CONSUMO DEL
MES DOSIS
(f=e*a)</t>
  </si>
  <si>
    <t xml:space="preserve">(*)DETERIORADO
/VENCIDO O
TRANSFERIDO
(g)</t>
  </si>
  <si>
    <t xml:space="preserve">TOTAL MOVIMIENTO
DEL MES
(h=e+g)</t>
  </si>
  <si>
    <t xml:space="preserve">DOSIS
APLICADAS
(i)</t>
  </si>
  <si>
    <t xml:space="preserve">DOSIS
PERDIDAS
(j=f-i)</t>
  </si>
  <si>
    <t xml:space="preserve">% FACTOR
PERDIDA
(k=(j/f)*100)</t>
  </si>
  <si>
    <t>54003</t>
  </si>
  <si>
    <t>VACUNA ANTITUBERCULOSA (BCG) - INYECTABLE - 20 DOSIS</t>
  </si>
  <si>
    <t>0374MA05</t>
  </si>
  <si>
    <t>31/10/2026</t>
  </si>
  <si>
    <t>02/07/2026</t>
  </si>
  <si>
    <t>Distribución realizada: 140 frascos | Distribución realizada: 80 frascos | Devolución a UNGET: 10 frascos. Motivo: Reasignación por baja demanda | Baja no disponible enviada a UNGET: 4 frascos. Motivo: Deteriorado | Reajuste de stock: -2 frascos. Motivo: Vencido en almacén</t>
  </si>
  <si>
    <t>54127</t>
  </si>
  <si>
    <t>VACUNA SPR (SARAMPION, PAPERAS, RUBEOLA) - INYECTABLE - 10 DOSIS</t>
  </si>
  <si>
    <t>SPR-2609</t>
  </si>
  <si>
    <t>15/03/2027</t>
  </si>
  <si>
    <t>03/07/2026</t>
  </si>
  <si>
    <t>Distribución realizada: 120 frascos</t>
  </si>
  <si>
    <t>55001</t>
  </si>
  <si>
    <t>JERINGA DESCARTABLE 1 ML CON AGUJA</t>
  </si>
  <si>
    <t>JER-2026-09</t>
  </si>
  <si>
    <t>30/09/2028</t>
  </si>
  <si>
    <t>Distribución realizada: 1,100 frascos | Distribución realizada: 700 frascos | Baja no disponible enviada a UNGET: 10 frascos. Motivo: Ruptura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</si>
</sst>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color rgb="FF334155"/>
      <sz val="9"/>
      <name val="Arial"/>
    </font>
    <font>
      <i/>
      <color rgb="FF475569"/>
      <sz val="8"/>
      <name val="Arial"/>
    </font>
    <font>
      <b/>
      <color rgb="FF000000"/>
      <sz val="8"/>
      <name val="Arial"/>
    </font>
    <font>
      <b/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54" customWidth="1"/>
    <col min="3" max="3" width="14" customWidth="1"/>
    <col min="4" max="4" width="13" customWidth="1"/>
    <col min="5" max="5" width="16" customWidth="1"/>
    <col min="6" max="6" width="15" customWidth="1"/>
    <col min="7" max="7" width="12" customWidth="1"/>
    <col min="8" max="8" width="15" customWidth="1"/>
    <col min="9" max="9" width="14" customWidth="1"/>
    <col min="10" max="11" width="13" customWidth="1"/>
    <col min="12" max="12" width="18" customWidth="1"/>
    <col min="13" max="14" width="14" customWidth="1"/>
    <col min="15" max="15" width="13" customWidth="1"/>
    <col min="16" max="16" width="14" customWidth="1"/>
    <col min="17" max="18" width="13" customWidth="1"/>
    <col min="19" max="19" width="42" customWidth="1"/>
  </cols>
  <sheetData>
    <row r="1" ht="24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0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2" customHeight="1" spans="1:1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24" customHeight="1" spans="1:19" x14ac:dyDescent="0.25">
      <c r="A4" s="4" t="s">
        <v>3</v>
      </c>
      <c r="B4" s="4" t="s">
        <v>4</v>
      </c>
      <c r="C4" s="4" t="s">
        <v>5</v>
      </c>
      <c r="D4" s="4" t="s">
        <v>6</v>
      </c>
      <c r="E4" s="4"/>
      <c r="F4" s="4"/>
      <c r="G4" s="4"/>
      <c r="H4" s="4"/>
      <c r="I4" s="4"/>
      <c r="J4" s="4" t="s">
        <v>7</v>
      </c>
      <c r="K4" s="4"/>
      <c r="L4" s="4"/>
      <c r="M4" s="4"/>
      <c r="N4" s="4" t="s">
        <v>8</v>
      </c>
      <c r="O4" s="4"/>
      <c r="P4" s="4"/>
      <c r="Q4" s="4" t="s">
        <v>9</v>
      </c>
      <c r="R4" s="4" t="s">
        <v>10</v>
      </c>
      <c r="S4" s="4" t="s">
        <v>11</v>
      </c>
    </row>
    <row r="5" ht="76" customHeight="1" spans="1:19" x14ac:dyDescent="0.25">
      <c r="A5" s="4"/>
      <c r="B5" s="4"/>
      <c r="C5" s="4"/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17</v>
      </c>
      <c r="J5" s="4" t="s">
        <v>18</v>
      </c>
      <c r="K5" s="4" t="s">
        <v>19</v>
      </c>
      <c r="L5" s="4" t="s">
        <v>20</v>
      </c>
      <c r="M5" s="4" t="s">
        <v>21</v>
      </c>
      <c r="N5" s="4" t="s">
        <v>22</v>
      </c>
      <c r="O5" s="4" t="s">
        <v>23</v>
      </c>
      <c r="P5" s="4" t="s">
        <v>24</v>
      </c>
      <c r="Q5" s="4"/>
      <c r="R5" s="4"/>
      <c r="S5" s="4"/>
    </row>
    <row r="6" ht="34" customHeight="1" spans="1:19" x14ac:dyDescent="0.25">
      <c r="A6" s="5" t="s">
        <v>25</v>
      </c>
      <c r="B6" s="6" t="s">
        <v>26</v>
      </c>
      <c r="C6" s="7">
        <v>20</v>
      </c>
      <c r="D6" s="7">
        <v>470</v>
      </c>
      <c r="E6" s="8" t="s">
        <v>27</v>
      </c>
      <c r="F6" s="8" t="s">
        <v>28</v>
      </c>
      <c r="G6" s="7">
        <v>400</v>
      </c>
      <c r="H6" s="8" t="s">
        <v>29</v>
      </c>
      <c r="I6" s="7">
        <f>D6+G6</f>
        <v>870</v>
      </c>
      <c r="J6" s="7">
        <v>95</v>
      </c>
      <c r="K6" s="7">
        <f>J6*C6</f>
        <v>1900</v>
      </c>
      <c r="L6" s="7">
        <v>6</v>
      </c>
      <c r="M6" s="7">
        <f>J6+L6</f>
        <v>101</v>
      </c>
      <c r="N6" s="7">
        <v>1775</v>
      </c>
      <c r="O6" s="7">
        <f>K6-N6</f>
        <v>125</v>
      </c>
      <c r="P6" s="9">
        <f>IF(K6=0,"",O6/K6)</f>
        <v>0.06578947368421052</v>
      </c>
      <c r="Q6" s="7">
        <f>I6-M6</f>
        <v>769</v>
      </c>
      <c r="R6" s="7">
        <f>Q6*C6</f>
        <v>15380</v>
      </c>
      <c r="S6" s="10" t="s">
        <v>30</v>
      </c>
    </row>
    <row r="7" ht="34" customHeight="1" spans="1:19" x14ac:dyDescent="0.25">
      <c r="A7" s="5" t="s">
        <v>31</v>
      </c>
      <c r="B7" s="6" t="s">
        <v>32</v>
      </c>
      <c r="C7" s="7">
        <v>10</v>
      </c>
      <c r="D7" s="7">
        <v>150</v>
      </c>
      <c r="E7" s="8" t="s">
        <v>33</v>
      </c>
      <c r="F7" s="8" t="s">
        <v>34</v>
      </c>
      <c r="G7" s="7">
        <v>260</v>
      </c>
      <c r="H7" s="8" t="s">
        <v>35</v>
      </c>
      <c r="I7" s="7">
        <f>D7+G7</f>
        <v>410</v>
      </c>
      <c r="J7" s="7">
        <v>48</v>
      </c>
      <c r="K7" s="7">
        <f>J7*C7</f>
        <v>480</v>
      </c>
      <c r="L7" s="7">
        <v>0</v>
      </c>
      <c r="M7" s="7">
        <f>J7+L7</f>
        <v>48</v>
      </c>
      <c r="N7" s="7">
        <v>455</v>
      </c>
      <c r="O7" s="7">
        <f>K7-N7</f>
        <v>25</v>
      </c>
      <c r="P7" s="9">
        <f>IF(K7=0,"",O7/K7)</f>
        <v>0.05208333333333334</v>
      </c>
      <c r="Q7" s="7">
        <f>I7-M7</f>
        <v>362</v>
      </c>
      <c r="R7" s="7">
        <f>Q7*C7</f>
        <v>3620</v>
      </c>
      <c r="S7" s="10" t="s">
        <v>36</v>
      </c>
    </row>
    <row r="8" ht="34" customHeight="1" spans="1:19" x14ac:dyDescent="0.25">
      <c r="A8" s="5" t="s">
        <v>37</v>
      </c>
      <c r="B8" s="6" t="s">
        <v>38</v>
      </c>
      <c r="C8" s="7">
        <v>1</v>
      </c>
      <c r="D8" s="7">
        <v>3500</v>
      </c>
      <c r="E8" s="8" t="s">
        <v>39</v>
      </c>
      <c r="F8" s="8" t="s">
        <v>40</v>
      </c>
      <c r="G8" s="7">
        <v>3000</v>
      </c>
      <c r="H8" s="8" t="s">
        <v>29</v>
      </c>
      <c r="I8" s="7">
        <f>D8+G8</f>
        <v>6500</v>
      </c>
      <c r="J8" s="7">
        <v>1100</v>
      </c>
      <c r="K8" s="7">
        <f>J8*C8</f>
        <v>1100</v>
      </c>
      <c r="L8" s="7">
        <v>10</v>
      </c>
      <c r="M8" s="7">
        <f>J8+L8</f>
        <v>1110</v>
      </c>
      <c r="N8" s="7">
        <v>1095</v>
      </c>
      <c r="O8" s="7">
        <f>K8-N8</f>
        <v>5</v>
      </c>
      <c r="P8" s="9">
        <f>IF(K8=0,"",O8/K8)</f>
        <v>0.004545454545454545</v>
      </c>
      <c r="Q8" s="7">
        <f>I8-M8</f>
        <v>5390</v>
      </c>
      <c r="R8" s="7">
        <f>Q8*C8</f>
        <v>5390</v>
      </c>
      <c r="S8" s="10" t="s">
        <v>41</v>
      </c>
    </row>
  </sheetData>
  <autoFilter ref="A5:S5"/>
  <mergeCells count="6">
    <mergeCell ref="A1:S1"/>
    <mergeCell ref="A2:S2"/>
    <mergeCell ref="A3:S3"/>
    <mergeCell ref="D4:I4"/>
    <mergeCell ref="J4:M4"/>
    <mergeCell ref="N4:P4"/>
  </mergeCells>
  <pageMargins left="0.2" right="0.2" top="0.35" bottom="0.35" header="0.2" footer="0.2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 UNGET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ToolKit SISMED Web</dc:creator>
  <dc:title/>
  <dc:subject/>
  <dc:description/>
  <cp:keywords/>
  <cp:category/>
  <cp:lastModifiedBy>Unknown</cp:lastModifiedBy>
  <dcterms:created xsi:type="dcterms:W3CDTF">2026-07-31T04:26:31Z</dcterms:created>
  <dcterms:modified xsi:type="dcterms:W3CDTF">2026-07-31T04:26:31Z</dcterms:modified>
</cp:coreProperties>
</file>